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t_Thesis_Summary" sheetId="1" state="visible" r:id="rId1"/>
    <sheet xmlns:r="http://schemas.openxmlformats.org/officeDocument/2006/relationships" name="Daily_Tracker_Template" sheetId="2" state="visible" r:id="rId2"/>
    <sheet xmlns:r="http://schemas.openxmlformats.org/officeDocument/2006/relationships" name="Checkpoint_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3" customWidth="1" min="3" max="3"/>
    <col width="21" customWidth="1" min="4" max="4"/>
    <col width="38" customWidth="1" min="5" max="5"/>
    <col width="28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기관/분석가</t>
        </is>
      </c>
      <c r="B1" s="1" t="inlineStr">
        <is>
          <t>리포트일</t>
        </is>
      </c>
      <c r="C1" s="1" t="inlineStr">
        <is>
          <t>목표가/적정가</t>
        </is>
      </c>
      <c r="D1" s="1" t="inlineStr">
        <is>
          <t>의견</t>
        </is>
      </c>
      <c r="E1" s="1" t="inlineStr">
        <is>
          <t>밸류에이션 근거</t>
        </is>
      </c>
      <c r="F1" s="1" t="inlineStr">
        <is>
          <t>핵심 근거 1</t>
        </is>
      </c>
      <c r="G1" s="1" t="inlineStr">
        <is>
          <t>핵심 근거 2</t>
        </is>
      </c>
      <c r="H1" s="1" t="inlineStr">
        <is>
          <t>핵심 근거 3</t>
        </is>
      </c>
      <c r="I1" s="1" t="inlineStr">
        <is>
          <t>깨지는 조건(핵심)</t>
        </is>
      </c>
      <c r="J1" s="1" t="inlineStr">
        <is>
          <t>일일 체크 지표</t>
        </is>
      </c>
    </row>
    <row r="2">
      <c r="A2" t="inlineStr">
        <is>
          <t>Barclays / Simon Coles</t>
        </is>
      </c>
      <c r="B2" t="inlineStr">
        <is>
          <t>2026-07-14</t>
        </is>
      </c>
      <c r="C2" t="inlineStr">
        <is>
          <t>$330 (ADR)</t>
        </is>
      </c>
      <c r="D2" t="inlineStr">
        <is>
          <t>Overweight</t>
        </is>
      </c>
      <c r="E2" t="inlineStr">
        <is>
          <t>PER 8배 적용(마이크론보다 낮은 배수)</t>
        </is>
      </c>
      <c r="F2" t="inlineStr">
        <is>
          <t>2027~2028 메모리 공급부족 지속</t>
        </is>
      </c>
      <c r="G2" t="inlineStr">
        <is>
          <t>HBM 점유율 50%+ 유지</t>
        </is>
      </c>
      <c r="H2" t="inlineStr">
        <is>
          <t>2027년말 현금성자산 시총의 40%+ -&gt; 자사주 매입 여력</t>
        </is>
      </c>
      <c r="I2" t="inlineStr">
        <is>
          <t>DRAM 공급 증가가 수요를 추월 / 중국산 DRAM이 글로벌 DC 채택 확대</t>
        </is>
      </c>
      <c r="J2" t="inlineStr">
        <is>
          <t>DRAM 수요증가율 vs 공급증가율, HBM 점유율, 중국산 DC채택, 현금/자사주</t>
        </is>
      </c>
    </row>
    <row r="3">
      <c r="A3" t="inlineStr">
        <is>
          <t>KB증권 / 김동원</t>
        </is>
      </c>
      <c r="B3" t="inlineStr">
        <is>
          <t>2026-07-03, 2026-07-15 유지</t>
        </is>
      </c>
      <c r="C3" t="inlineStr">
        <is>
          <t>4,200,000원</t>
        </is>
      </c>
      <c r="D3" t="inlineStr">
        <is>
          <t>매수</t>
        </is>
      </c>
      <c r="E3" t="inlineStr">
        <is>
          <t>메모리 공급부족 장기화 + 실적추정 상향</t>
        </is>
      </c>
      <c r="F3" t="inlineStr">
        <is>
          <t>2028년까지 공급부족 장기화</t>
        </is>
      </c>
      <c r="G3" t="inlineStr">
        <is>
          <t>2027 D램/낸드 공급증가율 7%/4% vs 수요 17%/19%</t>
        </is>
      </c>
      <c r="H3" t="inlineStr">
        <is>
          <t>AI 투자 2026 8천억달러 -&gt; 2028 1.5조달러, LTA 확대</t>
        </is>
      </c>
      <c r="I3" t="inlineStr">
        <is>
          <t>빅테크 CAPEX 둔화 + 메모리 가격 상승 중단</t>
        </is>
      </c>
      <c r="J3" t="inlineStr">
        <is>
          <t>DRAM/NAND 고정거래가, 빅테크 AI CapEx, LTA 공시/언급, 2Q/3Q OPM</t>
        </is>
      </c>
    </row>
    <row r="4">
      <c r="A4" t="inlineStr">
        <is>
          <t>대신증권 / 류형근</t>
        </is>
      </c>
      <c r="B4" t="inlineStr">
        <is>
          <t>2026-07-07</t>
        </is>
      </c>
      <c r="C4" t="inlineStr">
        <is>
          <t>3,900,000원</t>
        </is>
      </c>
      <c r="D4" t="inlineStr">
        <is>
          <t>매수</t>
        </is>
      </c>
      <c r="E4" t="inlineStr">
        <is>
          <t>목표 PBR 5.5배(마이크론 선행 PBR 상단에서 10% 할인)</t>
        </is>
      </c>
      <c r="F4" t="inlineStr">
        <is>
          <t>ADR 상장으로 밸류에이션 할인 해소</t>
        </is>
      </c>
      <c r="G4" t="inlineStr">
        <is>
          <t>2026/2027 영업이익 291조/432조 전망</t>
        </is>
      </c>
      <c r="H4" t="inlineStr">
        <is>
          <t>2027 HBM ASP +100%, 순현금 100조 및 주주환원 강화</t>
        </is>
      </c>
      <c r="I4" t="inlineStr">
        <is>
          <t>ADR 재평가 효과 미흡 / HBM ASP 상승 불발</t>
        </is>
      </c>
      <c r="J4" t="inlineStr">
        <is>
          <t>ADR 프리미엄, HBM ASP 추이, 순현금 증가, 자사주/배당 공시</t>
        </is>
      </c>
    </row>
    <row r="5">
      <c r="A5" t="inlineStr">
        <is>
          <t>IBK투자증권 / 김운호</t>
        </is>
      </c>
      <c r="B5" t="inlineStr">
        <is>
          <t>2026-07-02</t>
        </is>
      </c>
      <c r="C5" t="inlineStr">
        <is>
          <t>4,000,000원</t>
        </is>
      </c>
      <c r="D5" t="inlineStr">
        <is>
          <t>매수</t>
        </is>
      </c>
      <c r="E5" t="inlineStr">
        <is>
          <t>12개월 예상 EPS 411,454원 x PER 10배</t>
        </is>
      </c>
      <c r="F5" t="inlineStr">
        <is>
          <t>에이전트 AI는 생성형 AI 대비 토큰 1만배</t>
        </is>
      </c>
      <c r="G5" t="inlineStr">
        <is>
          <t>CPU 중심 작업 증가로 DRAM 수요 동반 확대</t>
        </is>
      </c>
      <c r="H5" t="inlineStr">
        <is>
          <t>KV Cache 확대가 NAND 수요 확대 유발</t>
        </is>
      </c>
      <c r="I5" t="inlineStr">
        <is>
          <t>DRAM/NAND 수요가 HBM 외로 확산되지 못함</t>
        </is>
      </c>
      <c r="J5" t="inlineStr">
        <is>
          <t>AI 토큰 사용량/추론 수요, 서버 DRAM/eSSD 가격, 2Q 영업익 61조 근접 여부</t>
        </is>
      </c>
    </row>
    <row r="6">
      <c r="A6" t="inlineStr">
        <is>
          <t>NH투자증권 / 류영호</t>
        </is>
      </c>
      <c r="B6" t="inlineStr">
        <is>
          <t>2026-07-02</t>
        </is>
      </c>
      <c r="C6" t="inlineStr">
        <is>
          <t>4,100,000원</t>
        </is>
      </c>
      <c r="D6" t="inlineStr">
        <is>
          <t>매수</t>
        </is>
      </c>
      <c r="E6" t="inlineStr">
        <is>
          <t>실적 추정치 상향 + 선행 PER 6배는 경쟁사 대비 저평가</t>
        </is>
      </c>
      <c r="F6" t="inlineStr">
        <is>
          <t>메모리 가격 상승이 하반기에도 지속</t>
        </is>
      </c>
      <c r="G6" t="inlineStr">
        <is>
          <t>2026/2027 영업익 289.4조/470조 상향</t>
        </is>
      </c>
      <c r="H6" t="inlineStr">
        <is>
          <t>ADR 상장으로 해외 접근성 확대 및 리레이팅</t>
        </is>
      </c>
      <c r="I6" t="inlineStr">
        <is>
          <t>메모리 가격 상승세 둔화 / 경쟁사 대비 PER 할인 지속</t>
        </is>
      </c>
      <c r="J6" t="inlineStr">
        <is>
          <t>DRAM/NAND 가격, 선행 PER 괴리, ADR 프리미엄, 2Q 영업익 66.2조 근접 여부</t>
        </is>
      </c>
    </row>
    <row r="7">
      <c r="A7" t="inlineStr">
        <is>
          <t>한국투자증권 / 채민숙</t>
        </is>
      </c>
      <c r="B7" t="inlineStr">
        <is>
          <t>2026-05-20, 2026-07-13 유지</t>
        </is>
      </c>
      <c r="C7" t="inlineStr">
        <is>
          <t>3,800,000원</t>
        </is>
      </c>
      <c r="D7" t="inlineStr">
        <is>
          <t>비중확대</t>
        </is>
      </c>
      <c r="E7" t="inlineStr">
        <is>
          <t>목표 PBR 6배, 2026~2029 평균 ROE 60%</t>
        </is>
      </c>
      <c r="F7" t="inlineStr">
        <is>
          <t>LTA 3~5년 확대로 실적 변동성 축소</t>
        </is>
      </c>
      <c r="G7" t="inlineStr">
        <is>
          <t>2027 HBM ASP +116%, HBM4 3Q 양산/내년 LTA 가격 적용</t>
        </is>
      </c>
      <c r="H7" t="inlineStr">
        <is>
          <t>이익의 크기보다 지속가능성으로 멀티플 리레이팅</t>
        </is>
      </c>
      <c r="I7" t="inlineStr">
        <is>
          <t>LTA 확대 미진 / HBM4 양산 지연 / OPM 피크아웃</t>
        </is>
      </c>
      <c r="J7" t="inlineStr">
        <is>
          <t>LTA 체결/기간, HBM4 양산출하, OPM 추세, HBM ASP</t>
        </is>
      </c>
    </row>
    <row r="8">
      <c r="A8" t="inlineStr">
        <is>
          <t>신한투자증권 / 김형태</t>
        </is>
      </c>
      <c r="B8" t="inlineStr">
        <is>
          <t>2026-05-21</t>
        </is>
      </c>
      <c r="C8" t="inlineStr">
        <is>
          <t>3,800,000원</t>
        </is>
      </c>
      <c r="D8" t="inlineStr">
        <is>
          <t>매수</t>
        </is>
      </c>
      <c r="E8" t="inlineStr">
        <is>
          <t>12개월 선행 BPS 646,077원 x 목표 PBR 5.8배</t>
        </is>
      </c>
      <c r="F8" t="inlineStr">
        <is>
          <t>북미 경쟁사와 동일 밸류에이션 가능</t>
        </is>
      </c>
      <c r="G8" t="inlineStr">
        <is>
          <t>2026/2027 영업익 266.9조/405.8조 전망</t>
        </is>
      </c>
      <c r="H8" t="inlineStr">
        <is>
          <t>하반기 매출/영업익 상반기 대비 53.7%/59.4% 성장</t>
        </is>
      </c>
      <c r="I8" t="inlineStr">
        <is>
          <t>북미 경쟁사 대비 성장률 역전 / GPM 80% 훼손</t>
        </is>
      </c>
      <c r="J8" t="inlineStr">
        <is>
          <t>GPM 80% 유지, HBM 가격 인상, eSSD 기여, 북미 경쟁사 성장률 비교</t>
        </is>
      </c>
    </row>
    <row r="9">
      <c r="A9" t="inlineStr">
        <is>
          <t>SK증권 / 한동희</t>
        </is>
      </c>
      <c r="B9" t="inlineStr">
        <is>
          <t>2026-06-01</t>
        </is>
      </c>
      <c r="C9" t="inlineStr">
        <is>
          <t>4,000,000원</t>
        </is>
      </c>
      <c r="D9" t="inlineStr">
        <is>
          <t>매수</t>
        </is>
      </c>
      <c r="E9" t="inlineStr">
        <is>
          <t>PER 재평가 / 마이크론 대비 할인 축소</t>
        </is>
      </c>
      <c r="F9" t="inlineStr">
        <is>
          <t>LTA 3~5년으로 수요가시성 확보</t>
        </is>
      </c>
      <c r="G9" t="inlineStr">
        <is>
          <t>2027년 HBM 가격 최소 +50%</t>
        </is>
      </c>
      <c r="H9" t="inlineStr">
        <is>
          <t>하반기 주주환원 강화 및 마이크론 대비 39% 할인</t>
        </is>
      </c>
      <c r="I9" t="inlineStr">
        <is>
          <t>LTA 하단가격 약화 / 주주환원 미발표 / 할인 지속</t>
        </is>
      </c>
      <c r="J9" t="inlineStr">
        <is>
          <t>LTA 구조, HBM 가격, 주주환원 공시, 마이크론 대비 PER 할인폭</t>
        </is>
      </c>
    </row>
    <row r="10">
      <c r="A10" t="inlineStr">
        <is>
          <t>HSBC / (기사상 비실명)</t>
        </is>
      </c>
      <c r="B10" t="inlineStr">
        <is>
          <t>2026-07-15</t>
        </is>
      </c>
      <c r="C10" t="inlineStr">
        <is>
          <t>수치 미공개 (Top Pick)</t>
        </is>
      </c>
      <c r="D10" t="inlineStr">
        <is>
          <t>매수 유지</t>
        </is>
      </c>
      <c r="E10" t="inlineStr">
        <is>
          <t>메모리 피크아웃 우려 시기상조</t>
        </is>
      </c>
      <c r="F10" t="inlineStr">
        <is>
          <t>DRAM 가격 상승이 HBM 가격 상승으로 전이</t>
        </is>
      </c>
      <c r="G10" t="inlineStr">
        <is>
          <t>HBM4 채택 및 SO-CAMM2, AI Agent용 NAND 수요 확대</t>
        </is>
      </c>
      <c r="H10" t="inlineStr">
        <is>
          <t>HBM4 시장점유율 50~55% 유지 전망</t>
        </is>
      </c>
      <c r="I10" t="inlineStr">
        <is>
          <t>HBM4 점유율 하락 / DRAM 상승이 HBM에 전이되지 않음</t>
        </is>
      </c>
      <c r="J10" t="inlineStr">
        <is>
          <t>HBM4 고객 인증, SO-CAMM2 채택, NAND 수요, HBM4 점유율</t>
        </is>
      </c>
    </row>
    <row r="11">
      <c r="A11" t="inlineStr">
        <is>
          <t>BNK투자증권 / 이민희</t>
        </is>
      </c>
      <c r="B11" t="inlineStr">
        <is>
          <t>2026-07-08~09 유지</t>
        </is>
      </c>
      <c r="C11" t="inlineStr">
        <is>
          <t>1,850,000원</t>
        </is>
      </c>
      <c r="D11" t="inlineStr">
        <is>
          <t>보유(Hold)</t>
        </is>
      </c>
      <c r="E11" t="inlineStr">
        <is>
          <t>보수적 시각; 현 주가 대비 하방 제시</t>
        </is>
      </c>
      <c r="F11" t="inlineStr">
        <is>
          <t>하이퍼스케일러 경쟁적 인프라 투자 모멘텀 둔화</t>
        </is>
      </c>
      <c r="G11" t="inlineStr">
        <is>
          <t>2027년 필요한 CAPEX 30~40% 대비 실제 속도 조절 우려</t>
        </is>
      </c>
      <c r="H11" t="inlineStr">
        <is>
          <t>ADR은 거래 편의성일 뿐 밸류에이션 변화 요인 아님</t>
        </is>
      </c>
      <c r="I11" t="inlineStr">
        <is>
          <t>빅테크 CAPEX 재가속 / ADR로 멀티플 재평가 현실화</t>
        </is>
      </c>
      <c r="J11" t="inlineStr">
        <is>
          <t>빅테크 CapEx, 하이퍼스케일러 투자계획, 본주/ADR 멀티플 변화, 연말 이후 실적 모멘텀</t>
        </is>
      </c>
    </row>
    <row r="12">
      <c r="A12" t="inlineStr">
        <is>
          <t>Morningstar / Jing Jie Yu</t>
        </is>
      </c>
      <c r="B12" t="inlineStr">
        <is>
          <t>2026-07-13</t>
        </is>
      </c>
      <c r="C12" t="inlineStr">
        <is>
          <t>$160 (ADR Fair Value)</t>
        </is>
      </c>
      <c r="D12" t="inlineStr">
        <is>
          <t>★★★ / Fairly valued</t>
        </is>
      </c>
      <c r="E12" t="inlineStr">
        <is>
          <t>장기 사이클 리스크 반영, 불확실성 Very High</t>
        </is>
      </c>
      <c r="F12" t="inlineStr">
        <is>
          <t>상장 목적은 자금조달보다 밸류에이션 리프트</t>
        </is>
      </c>
      <c r="G12" t="inlineStr">
        <is>
          <t>현금만으로도 CapEx 충분</t>
        </is>
      </c>
      <c r="H12" t="inlineStr">
        <is>
          <t>원웨이 fungibility로 ADR 프리미엄/변동성 확대 가능</t>
        </is>
      </c>
      <c r="I12" t="inlineStr">
        <is>
          <t>ADR 프리미엄 확대 지속 + 실적 변동성 확대</t>
        </is>
      </c>
      <c r="J12" t="inlineStr">
        <is>
          <t>ADR 프리미엄, 레버리지/신용잔고, 마진콜, 원웨이 fungibility 지속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8" customWidth="1" min="4" max="4"/>
    <col width="40" customWidth="1" min="5" max="5"/>
    <col width="40" customWidth="1" min="6" max="6"/>
    <col width="16" customWidth="1" min="7" max="7"/>
    <col width="16" customWidth="1" min="8" max="8"/>
    <col width="13" customWidth="1" min="9" max="9"/>
    <col width="15" customWidth="1" min="10" max="10"/>
    <col width="17" customWidth="1" min="11" max="11"/>
    <col width="13" customWidth="1" min="12" max="12"/>
    <col width="13" customWidth="1" min="13" max="13"/>
    <col width="16" customWidth="1" min="14" max="14"/>
    <col width="14" customWidth="1" min="15" max="15"/>
    <col width="4" customWidth="1" min="16" max="16"/>
    <col width="2" customWidth="1" min="17" max="17"/>
  </cols>
  <sheetData>
    <row r="1">
      <c r="A1" s="1" t="inlineStr">
        <is>
          <t>날짜</t>
        </is>
      </c>
      <c r="B1" s="1" t="inlineStr">
        <is>
          <t>본주 종가(원)</t>
        </is>
      </c>
      <c r="C1" s="1" t="inlineStr">
        <is>
          <t>ADR 종가($)</t>
        </is>
      </c>
      <c r="D1" s="1" t="inlineStr">
        <is>
          <t>USDKRW</t>
        </is>
      </c>
      <c r="E1" s="1" t="inlineStr">
        <is>
          <t>ADR 환산 본주가(원)</t>
        </is>
      </c>
      <c r="F1" s="1" t="inlineStr">
        <is>
          <t>ADR 프리미엄(%)</t>
        </is>
      </c>
      <c r="G1" s="1" t="inlineStr">
        <is>
          <t>DRAM 고정거래가 모멘텀</t>
        </is>
      </c>
      <c r="H1" s="1" t="inlineStr">
        <is>
          <t>NAND 고정거래가 모멘텀</t>
        </is>
      </c>
      <c r="I1" s="1" t="inlineStr">
        <is>
          <t>HBM/ASP 코멘트</t>
        </is>
      </c>
      <c r="J1" s="1" t="inlineStr">
        <is>
          <t>HBM4 인증/출하 뉴스</t>
        </is>
      </c>
      <c r="K1" s="1" t="inlineStr">
        <is>
          <t>빅테크 AI CapEx 뉴스</t>
        </is>
      </c>
      <c r="L1" s="1" t="inlineStr">
        <is>
          <t>LTA/장기계약 뉴스</t>
        </is>
      </c>
      <c r="M1" s="1" t="inlineStr">
        <is>
          <t>주주환원/자사주 뉴스</t>
        </is>
      </c>
      <c r="N1" s="1" t="inlineStr">
        <is>
          <t>중국산 DRAM 채택 뉴스</t>
        </is>
      </c>
      <c r="O1" s="1" t="inlineStr">
        <is>
          <t>판정(긍정/중립/훼손)</t>
        </is>
      </c>
      <c r="P1" s="1" t="inlineStr">
        <is>
          <t>메모</t>
        </is>
      </c>
      <c r="Q1" s="1" t="n"/>
    </row>
    <row r="2">
      <c r="A2" t="inlineStr"/>
      <c r="B2" t="inlineStr"/>
      <c r="C2" t="inlineStr"/>
      <c r="D2" t="inlineStr"/>
      <c r="E2">
        <f>IF(AND(C2&lt;&gt;"",D2&lt;&gt;""),C2*10*D2,"")</f>
        <v/>
      </c>
      <c r="F2" s="2">
        <f>IF(AND(E2&lt;&gt;"",B2&lt;&gt;""),(E2/B2-1),"")</f>
        <v/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>
        <f>IF(AND(C3&lt;&gt;"",D3&lt;&gt;""),C3*10*D3,"")</f>
        <v/>
      </c>
      <c r="F3" s="2">
        <f>IF(AND(E3&lt;&gt;"",B3&lt;&gt;""),(E3/B3-1),"")</f>
        <v/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>
        <f>IF(AND(C4&lt;&gt;"",D4&lt;&gt;""),C4*10*D4,"")</f>
        <v/>
      </c>
      <c r="F4" s="2">
        <f>IF(AND(E4&lt;&gt;"",B4&lt;&gt;""),(E4/B4-1),"")</f>
        <v/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>
        <f>IF(AND(C5&lt;&gt;"",D5&lt;&gt;""),C5*10*D5,"")</f>
        <v/>
      </c>
      <c r="F5" s="2">
        <f>IF(AND(E5&lt;&gt;"",B5&lt;&gt;""),(E5/B5-1),"")</f>
        <v/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>
        <f>IF(AND(C6&lt;&gt;"",D6&lt;&gt;""),C6*10*D6,"")</f>
        <v/>
      </c>
      <c r="F6" s="2">
        <f>IF(AND(E6&lt;&gt;"",B6&lt;&gt;""),(E6/B6-1),"")</f>
        <v/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>
        <f>IF(AND(C7&lt;&gt;"",D7&lt;&gt;""),C7*10*D7,"")</f>
        <v/>
      </c>
      <c r="F7" s="2">
        <f>IF(AND(E7&lt;&gt;"",B7&lt;&gt;""),(E7/B7-1),"")</f>
        <v/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>
        <f>IF(AND(C8&lt;&gt;"",D8&lt;&gt;""),C8*10*D8,"")</f>
        <v/>
      </c>
      <c r="F8" s="2">
        <f>IF(AND(E8&lt;&gt;"",B8&lt;&gt;""),(E8/B8-1),"")</f>
        <v/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>
        <f>IF(AND(C9&lt;&gt;"",D9&lt;&gt;""),C9*10*D9,"")</f>
        <v/>
      </c>
      <c r="F9" s="2">
        <f>IF(AND(E9&lt;&gt;"",B9&lt;&gt;""),(E9/B9-1),"")</f>
        <v/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>
        <f>IF(AND(C10&lt;&gt;"",D10&lt;&gt;""),C10*10*D10,"")</f>
        <v/>
      </c>
      <c r="F10" s="2">
        <f>IF(AND(E10&lt;&gt;"",B10&lt;&gt;""),(E10/B10-1),"")</f>
        <v/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>
        <f>IF(AND(C11&lt;&gt;"",D11&lt;&gt;""),C11*10*D11,"")</f>
        <v/>
      </c>
      <c r="F11" s="2">
        <f>IF(AND(E11&lt;&gt;"",B11&lt;&gt;""),(E11/B11-1),"")</f>
        <v/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>
        <f>IF(AND(C12&lt;&gt;"",D12&lt;&gt;""),C12*10*D12,"")</f>
        <v/>
      </c>
      <c r="F12" s="2">
        <f>IF(AND(E12&lt;&gt;"",B12&lt;&gt;""),(E12/B12-1),"")</f>
        <v/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>
        <f>IF(AND(C13&lt;&gt;"",D13&lt;&gt;""),C13*10*D13,"")</f>
        <v/>
      </c>
      <c r="F13" s="2">
        <f>IF(AND(E13&lt;&gt;"",B13&lt;&gt;""),(E13/B13-1),"")</f>
        <v/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>
        <f>IF(AND(C14&lt;&gt;"",D14&lt;&gt;""),C14*10*D14,"")</f>
        <v/>
      </c>
      <c r="F14" s="2">
        <f>IF(AND(E14&lt;&gt;"",B14&lt;&gt;""),(E14/B14-1),"")</f>
        <v/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>
        <f>IF(AND(C15&lt;&gt;"",D15&lt;&gt;""),C15*10*D15,"")</f>
        <v/>
      </c>
      <c r="F15" s="2">
        <f>IF(AND(E15&lt;&gt;"",B15&lt;&gt;""),(E15/B15-1),"")</f>
        <v/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>
        <f>IF(AND(C16&lt;&gt;"",D16&lt;&gt;""),C16*10*D16,"")</f>
        <v/>
      </c>
      <c r="F16" s="2">
        <f>IF(AND(E16&lt;&gt;"",B16&lt;&gt;""),(E16/B16-1),"")</f>
        <v/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>
        <f>IF(AND(C17&lt;&gt;"",D17&lt;&gt;""),C17*10*D17,"")</f>
        <v/>
      </c>
      <c r="F17" s="2">
        <f>IF(AND(E17&lt;&gt;"",B17&lt;&gt;""),(E17/B17-1),"")</f>
        <v/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>
        <f>IF(AND(C18&lt;&gt;"",D18&lt;&gt;""),C18*10*D18,"")</f>
        <v/>
      </c>
      <c r="F18" s="2">
        <f>IF(AND(E18&lt;&gt;"",B18&lt;&gt;""),(E18/B18-1),"")</f>
        <v/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>
        <f>IF(AND(C19&lt;&gt;"",D19&lt;&gt;""),C19*10*D19,"")</f>
        <v/>
      </c>
      <c r="F19" s="2">
        <f>IF(AND(E19&lt;&gt;"",B19&lt;&gt;""),(E19/B19-1),"")</f>
        <v/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>
        <f>IF(AND(C20&lt;&gt;"",D20&lt;&gt;""),C20*10*D20,"")</f>
        <v/>
      </c>
      <c r="F20" s="2">
        <f>IF(AND(E20&lt;&gt;"",B20&lt;&gt;""),(E20/B20-1),"")</f>
        <v/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>
        <f>IF(AND(C21&lt;&gt;"",D21&lt;&gt;""),C21*10*D21,"")</f>
        <v/>
      </c>
      <c r="F21" s="2">
        <f>IF(AND(E21&lt;&gt;"",B21&lt;&gt;""),(E21/B21-1),"")</f>
        <v/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>
        <f>IF(AND(C22&lt;&gt;"",D22&lt;&gt;""),C22*10*D22,"")</f>
        <v/>
      </c>
      <c r="F22" s="2">
        <f>IF(AND(E22&lt;&gt;"",B22&lt;&gt;""),(E22/B22-1),"")</f>
        <v/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>
        <f>IF(AND(C23&lt;&gt;"",D23&lt;&gt;""),C23*10*D23,"")</f>
        <v/>
      </c>
      <c r="F23" s="2">
        <f>IF(AND(E23&lt;&gt;"",B23&lt;&gt;""),(E23/B23-1),"")</f>
        <v/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>
        <f>IF(AND(C24&lt;&gt;"",D24&lt;&gt;""),C24*10*D24,"")</f>
        <v/>
      </c>
      <c r="F24" s="2">
        <f>IF(AND(E24&lt;&gt;"",B24&lt;&gt;""),(E24/B24-1),"")</f>
        <v/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>
        <f>IF(AND(C25&lt;&gt;"",D25&lt;&gt;""),C25*10*D25,"")</f>
        <v/>
      </c>
      <c r="F25" s="2">
        <f>IF(AND(E25&lt;&gt;"",B25&lt;&gt;""),(E25/B25-1),"")</f>
        <v/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>
        <f>IF(AND(C26&lt;&gt;"",D26&lt;&gt;""),C26*10*D26,"")</f>
        <v/>
      </c>
      <c r="F26" s="2">
        <f>IF(AND(E26&lt;&gt;"",B26&lt;&gt;""),(E26/B26-1),"")</f>
        <v/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>
        <f>IF(AND(C27&lt;&gt;"",D27&lt;&gt;""),C27*10*D27,"")</f>
        <v/>
      </c>
      <c r="F27" s="2">
        <f>IF(AND(E27&lt;&gt;"",B27&lt;&gt;""),(E27/B27-1),"")</f>
        <v/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>
        <f>IF(AND(C28&lt;&gt;"",D28&lt;&gt;""),C28*10*D28,"")</f>
        <v/>
      </c>
      <c r="F28" s="2">
        <f>IF(AND(E28&lt;&gt;"",B28&lt;&gt;""),(E28/B28-1),"")</f>
        <v/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>
        <f>IF(AND(C29&lt;&gt;"",D29&lt;&gt;""),C29*10*D29,"")</f>
        <v/>
      </c>
      <c r="F29" s="2">
        <f>IF(AND(E29&lt;&gt;"",B29&lt;&gt;""),(E29/B29-1),"")</f>
        <v/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>
        <f>IF(AND(C30&lt;&gt;"",D30&lt;&gt;""),C30*10*D30,"")</f>
        <v/>
      </c>
      <c r="F30" s="2">
        <f>IF(AND(E30&lt;&gt;"",B30&lt;&gt;""),(E30/B30-1),"")</f>
        <v/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>
        <f>IF(AND(C31&lt;&gt;"",D31&lt;&gt;""),C31*10*D31,"")</f>
        <v/>
      </c>
      <c r="F31" s="2">
        <f>IF(AND(E31&lt;&gt;"",B31&lt;&gt;""),(E31/B31-1),"")</f>
        <v/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8" customWidth="1" min="4" max="4"/>
  </cols>
  <sheetData>
    <row r="1">
      <c r="A1" s="1" t="inlineStr">
        <is>
          <t>체크포인트</t>
        </is>
      </c>
      <c r="B1" s="1" t="inlineStr">
        <is>
          <t>긍정 신호</t>
        </is>
      </c>
      <c r="C1" s="1" t="inlineStr">
        <is>
          <t>중립 신호</t>
        </is>
      </c>
      <c r="D1" s="1" t="inlineStr">
        <is>
          <t>훼손 신호</t>
        </is>
      </c>
    </row>
    <row r="2">
      <c r="A2" t="inlineStr">
        <is>
          <t>DRAM/NAND 가격</t>
        </is>
      </c>
      <c r="B2" t="inlineStr">
        <is>
          <t>월간/분기 가격 상승 지속</t>
        </is>
      </c>
      <c r="C2" t="inlineStr">
        <is>
          <t>상승률 둔화</t>
        </is>
      </c>
      <c r="D2" t="inlineStr">
        <is>
          <t>가격 하락 전환</t>
        </is>
      </c>
    </row>
    <row r="3">
      <c r="A3" t="inlineStr">
        <is>
          <t>HBM4 인증/출하</t>
        </is>
      </c>
      <c r="B3" t="inlineStr">
        <is>
          <t>주요 고객 인증/출하 확대</t>
        </is>
      </c>
      <c r="C3" t="inlineStr">
        <is>
          <t>양산 준비/샘플 단계</t>
        </is>
      </c>
      <c r="D3" t="inlineStr">
        <is>
          <t>인증 지연/수율 문제 부각</t>
        </is>
      </c>
    </row>
    <row r="4">
      <c r="A4" t="inlineStr">
        <is>
          <t>빅테크 AI CapEx</t>
        </is>
      </c>
      <c r="B4" t="inlineStr">
        <is>
          <t>상향/신규 데이터센터 발표</t>
        </is>
      </c>
      <c r="C4" t="inlineStr">
        <is>
          <t>유지</t>
        </is>
      </c>
      <c r="D4" t="inlineStr">
        <is>
          <t>축소/지연/외부판매 전환</t>
        </is>
      </c>
    </row>
    <row r="5">
      <c r="A5" t="inlineStr">
        <is>
          <t>LTA 구조</t>
        </is>
      </c>
      <c r="B5" t="inlineStr">
        <is>
          <t>3~5년 계약 확대/가격 하단 강화</t>
        </is>
      </c>
      <c r="C5" t="inlineStr">
        <is>
          <t>기존 구조 유지</t>
        </is>
      </c>
      <c r="D5" t="inlineStr">
        <is>
          <t>장기계약 축소/가격 하단 약화</t>
        </is>
      </c>
    </row>
    <row r="6">
      <c r="A6" t="inlineStr">
        <is>
          <t>주주환원</t>
        </is>
      </c>
      <c r="B6" t="inlineStr">
        <is>
          <t>자사주/특별배당/배당상향 발표</t>
        </is>
      </c>
      <c r="C6" t="inlineStr">
        <is>
          <t>언급만 존재</t>
        </is>
      </c>
      <c r="D6" t="inlineStr">
        <is>
          <t>환원 미실행/희석 우려 확대</t>
        </is>
      </c>
    </row>
    <row r="7">
      <c r="A7" t="inlineStr">
        <is>
          <t>ADR 프리미엄</t>
        </is>
      </c>
      <c r="B7" t="inlineStr">
        <is>
          <t>10~25% 내 안정</t>
        </is>
      </c>
      <c r="C7" t="inlineStr">
        <is>
          <t>25~35% 높음</t>
        </is>
      </c>
      <c r="D7" t="inlineStr">
        <is>
          <t>35%+ 과열 또는 괴리 확대</t>
        </is>
      </c>
    </row>
    <row r="8">
      <c r="A8" t="inlineStr">
        <is>
          <t>중국산 DRAM DC채택</t>
        </is>
      </c>
      <c r="B8" t="inlineStr">
        <is>
          <t>채택 제한 확인</t>
        </is>
      </c>
      <c r="C8" t="inlineStr">
        <is>
          <t>테스트/소규모 언급</t>
        </is>
      </c>
      <c r="D8" t="inlineStr">
        <is>
          <t>대형 CSP 채택 본격화</t>
        </is>
      </c>
    </row>
    <row r="9">
      <c r="A9" t="inlineStr">
        <is>
          <t>실적/마진</t>
        </is>
      </c>
      <c r="B9" t="inlineStr">
        <is>
          <t>컨센서스 상회, OPM 유지/상승</t>
        </is>
      </c>
      <c r="C9" t="inlineStr">
        <is>
          <t>컨센서스 부합</t>
        </is>
      </c>
      <c r="D9" t="inlineStr">
        <is>
          <t>컨센서스 하회, OPM 하락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2026-07-15T03:19:21.0848434Z</dcterms:created>
  <dcterms:modified xsi:type="dcterms:W3CDTF">2026-07-15T03:19:21.0848434Z</dcterms:modified>
  <lastModifiedBy>M365 Copilot</lastModifiedBy>
</coreProperties>
</file>